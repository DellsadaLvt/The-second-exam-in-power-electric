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8_2022\HKI 2020-2021\Dien Tu Cong Suat\Examination_02\"/>
    </mc:Choice>
  </mc:AlternateContent>
  <xr:revisionPtr revIDLastSave="0" documentId="13_ncr:1_{4D5B481B-6A15-4832-8762-C4E35AD91F6D}" xr6:coauthVersionLast="45" xr6:coauthVersionMax="45" xr10:uidLastSave="{00000000-0000-0000-0000-000000000000}"/>
  <bookViews>
    <workbookView xWindow="5760" yWindow="2904" windowWidth="17280" windowHeight="8964" xr2:uid="{B262BBE1-9D5F-46F1-A711-614B2BD3F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C53" i="1"/>
  <c r="C50" i="1"/>
  <c r="C49" i="1"/>
  <c r="F48" i="1"/>
  <c r="F47" i="1"/>
  <c r="C46" i="1"/>
  <c r="C44" i="1"/>
  <c r="C45" i="1"/>
  <c r="C34" i="1"/>
  <c r="C29" i="1"/>
  <c r="C30" i="1" s="1"/>
  <c r="E30" i="1" s="1"/>
  <c r="C5" i="1"/>
  <c r="C14" i="1" s="1"/>
  <c r="C15" i="1"/>
  <c r="C13" i="1"/>
  <c r="C31" i="1" l="1"/>
  <c r="E31" i="1" s="1"/>
  <c r="H17" i="1"/>
  <c r="E29" i="1" s="1"/>
  <c r="C16" i="1"/>
  <c r="H18" i="1" l="1"/>
  <c r="C19" i="1" l="1"/>
  <c r="E33" i="1" s="1"/>
  <c r="E27" i="1"/>
  <c r="C22" i="1"/>
  <c r="E32" i="1" s="1"/>
  <c r="C20" i="1" l="1"/>
  <c r="E36" i="1" s="1"/>
  <c r="C23" i="1"/>
  <c r="E35" i="1" l="1"/>
  <c r="E34" i="1"/>
</calcChain>
</file>

<file path=xl/sharedStrings.xml><?xml version="1.0" encoding="utf-8"?>
<sst xmlns="http://schemas.openxmlformats.org/spreadsheetml/2006/main" count="86" uniqueCount="47">
  <si>
    <t>HAFT RETIFIER</t>
  </si>
  <si>
    <t>Vdc (V)</t>
  </si>
  <si>
    <t>Vr</t>
  </si>
  <si>
    <t>Vr (V)</t>
  </si>
  <si>
    <t>Imax (A)</t>
  </si>
  <si>
    <t>Idc (A)</t>
  </si>
  <si>
    <t>Vrms (V)</t>
  </si>
  <si>
    <t>f (Hz)</t>
  </si>
  <si>
    <t>tối đa</t>
  </si>
  <si>
    <t>giá trị thiết kế</t>
  </si>
  <si>
    <t>R ( 1.5 A)</t>
  </si>
  <si>
    <t>Ohm</t>
  </si>
  <si>
    <t xml:space="preserve">Vmax </t>
  </si>
  <si>
    <t>V</t>
  </si>
  <si>
    <t>C</t>
  </si>
  <si>
    <t>F</t>
  </si>
  <si>
    <t>chọn</t>
  </si>
  <si>
    <t>Thiết kế</t>
  </si>
  <si>
    <t>Tính lại</t>
  </si>
  <si>
    <t>ok</t>
  </si>
  <si>
    <t>&lt; 0.5</t>
  </si>
  <si>
    <t>Vmax</t>
  </si>
  <si>
    <t>∆T</t>
  </si>
  <si>
    <t>Ipeak</t>
  </si>
  <si>
    <t xml:space="preserve">giá trị tính </t>
  </si>
  <si>
    <t>A</t>
  </si>
  <si>
    <t>R (1.8 A)</t>
  </si>
  <si>
    <t>Vd</t>
  </si>
  <si>
    <t>s</t>
  </si>
  <si>
    <t>Vs</t>
  </si>
  <si>
    <t>Isc</t>
  </si>
  <si>
    <t>Mô phỏng</t>
  </si>
  <si>
    <t>Vmin</t>
  </si>
  <si>
    <t>Vo</t>
  </si>
  <si>
    <t>Io</t>
  </si>
  <si>
    <t>Vs = 7.88V</t>
  </si>
  <si>
    <t>Vo = 7.14, R=3.9</t>
  </si>
  <si>
    <t>Ip</t>
  </si>
  <si>
    <t>Sai số</t>
  </si>
  <si>
    <t>Isc*</t>
  </si>
  <si>
    <t>(*) giá trị mô phỏng</t>
  </si>
  <si>
    <t>DATA</t>
  </si>
  <si>
    <t>BRIDGE RECTIFIER</t>
  </si>
  <si>
    <t>R (1.8A)</t>
  </si>
  <si>
    <t>Chọn</t>
  </si>
  <si>
    <t>(&lt;0.5)</t>
  </si>
  <si>
    <t>Vmax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</si>
</sst>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7" tint="-0.249977111117893"/>
      <name val="Times New Roman"/>
      <family val="1"/>
    </font>
    <font>
      <sz val="14"/>
      <color theme="7" tint="-0.249977111117893"/>
      <name val="Calibri"/>
      <family val="2"/>
      <scheme val="minor"/>
    </font>
    <font>
      <sz val="16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sz val="24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93B6-E80D-4FF2-BE8A-84E6A63901AC}">
  <dimension ref="A1:P56"/>
  <sheetViews>
    <sheetView tabSelected="1" topLeftCell="A46" zoomScale="85" zoomScaleNormal="85" workbookViewId="0">
      <selection activeCell="C52" sqref="C52"/>
    </sheetView>
  </sheetViews>
  <sheetFormatPr defaultRowHeight="14.4" x14ac:dyDescent="0.3"/>
  <cols>
    <col min="2" max="2" width="15.21875" customWidth="1"/>
    <col min="3" max="3" width="11.5546875" customWidth="1"/>
    <col min="4" max="4" width="11.44140625" customWidth="1"/>
    <col min="6" max="6" width="12.21875" customWidth="1"/>
    <col min="13" max="13" width="21.21875" customWidth="1"/>
    <col min="14" max="14" width="12.21875" customWidth="1"/>
  </cols>
  <sheetData>
    <row r="1" spans="1:11" ht="31.2" x14ac:dyDescent="0.6">
      <c r="A1" s="10" t="s">
        <v>41</v>
      </c>
    </row>
    <row r="2" spans="1:11" ht="21" x14ac:dyDescent="0.4">
      <c r="A2" s="4" t="s">
        <v>1</v>
      </c>
      <c r="B2" s="1"/>
      <c r="C2" s="6">
        <v>7</v>
      </c>
    </row>
    <row r="3" spans="1:11" ht="21" x14ac:dyDescent="0.4">
      <c r="A3" s="5" t="s">
        <v>3</v>
      </c>
      <c r="B3" t="s">
        <v>8</v>
      </c>
      <c r="C3" s="7">
        <v>0.5</v>
      </c>
    </row>
    <row r="4" spans="1:11" ht="21" x14ac:dyDescent="0.4">
      <c r="A4" s="5" t="s">
        <v>4</v>
      </c>
      <c r="C4" s="7">
        <v>1.5</v>
      </c>
    </row>
    <row r="5" spans="1:11" ht="21" x14ac:dyDescent="0.4">
      <c r="A5" s="5" t="s">
        <v>5</v>
      </c>
      <c r="B5" t="s">
        <v>9</v>
      </c>
      <c r="C5" s="7">
        <f>C4*1.2</f>
        <v>1.7999999999999998</v>
      </c>
    </row>
    <row r="6" spans="1:11" ht="21" x14ac:dyDescent="0.4">
      <c r="A6" s="5" t="s">
        <v>6</v>
      </c>
      <c r="C6" s="7">
        <v>220</v>
      </c>
    </row>
    <row r="7" spans="1:11" ht="21" x14ac:dyDescent="0.4">
      <c r="A7" s="5" t="s">
        <v>7</v>
      </c>
      <c r="C7" s="7">
        <v>50</v>
      </c>
    </row>
    <row r="10" spans="1:11" ht="31.2" x14ac:dyDescent="0.6">
      <c r="A10" s="10" t="s">
        <v>0</v>
      </c>
      <c r="B10" s="1"/>
      <c r="C10" s="1"/>
      <c r="G10" s="3"/>
    </row>
    <row r="11" spans="1:11" ht="25.8" x14ac:dyDescent="0.5">
      <c r="A11" s="12" t="s">
        <v>17</v>
      </c>
      <c r="B11" s="14"/>
      <c r="C11" s="14"/>
      <c r="D11" s="14"/>
      <c r="E11" s="14"/>
      <c r="F11" s="12" t="s">
        <v>18</v>
      </c>
      <c r="G11" s="14"/>
    </row>
    <row r="12" spans="1:11" ht="21" x14ac:dyDescent="0.4">
      <c r="A12" s="8"/>
    </row>
    <row r="13" spans="1:11" ht="23.4" x14ac:dyDescent="0.45">
      <c r="A13" s="2" t="s">
        <v>10</v>
      </c>
      <c r="B13" s="2"/>
      <c r="C13" s="2">
        <f>C2/C4</f>
        <v>4.666666666666667</v>
      </c>
      <c r="D13" s="2" t="s">
        <v>11</v>
      </c>
      <c r="E13" s="2"/>
      <c r="F13" s="2"/>
      <c r="G13" s="2"/>
      <c r="H13" s="2"/>
      <c r="I13" s="2"/>
      <c r="J13" s="2"/>
      <c r="K13" s="2"/>
    </row>
    <row r="14" spans="1:11" ht="23.4" x14ac:dyDescent="0.45">
      <c r="A14" s="2" t="s">
        <v>26</v>
      </c>
      <c r="B14" s="2" t="s">
        <v>24</v>
      </c>
      <c r="C14" s="2">
        <f>C2/C5</f>
        <v>3.8888888888888893</v>
      </c>
      <c r="D14" s="2" t="s">
        <v>11</v>
      </c>
      <c r="E14" s="2"/>
      <c r="F14" s="2"/>
      <c r="G14" s="2"/>
      <c r="H14" s="2"/>
      <c r="I14" s="2"/>
      <c r="J14" s="2"/>
      <c r="K14" s="2"/>
    </row>
    <row r="15" spans="1:11" ht="23.4" x14ac:dyDescent="0.45">
      <c r="A15" s="2" t="s">
        <v>12</v>
      </c>
      <c r="B15" s="2"/>
      <c r="C15" s="2">
        <f>C2 + (C3/2)</f>
        <v>7.25</v>
      </c>
      <c r="D15" s="2" t="s">
        <v>13</v>
      </c>
      <c r="E15" s="2"/>
      <c r="F15" s="2"/>
      <c r="G15" s="2"/>
      <c r="H15" s="2"/>
      <c r="I15" s="2"/>
      <c r="J15" s="2"/>
      <c r="K15" s="2"/>
    </row>
    <row r="16" spans="1:11" ht="23.4" x14ac:dyDescent="0.45">
      <c r="A16" s="2" t="s">
        <v>14</v>
      </c>
      <c r="B16" s="2"/>
      <c r="C16" s="2">
        <f>C15/C7/C14/C3</f>
        <v>7.4571428571428552E-2</v>
      </c>
      <c r="D16" s="2" t="s">
        <v>15</v>
      </c>
      <c r="E16" s="2"/>
      <c r="F16" s="2"/>
      <c r="G16" s="2"/>
      <c r="H16" s="2"/>
      <c r="I16" s="2"/>
      <c r="J16" s="2"/>
      <c r="K16" s="2"/>
    </row>
    <row r="17" spans="1:16" ht="23.4" x14ac:dyDescent="0.45">
      <c r="A17" s="2"/>
      <c r="B17" s="2" t="s">
        <v>16</v>
      </c>
      <c r="C17" s="2">
        <v>8.2000000000000003E-2</v>
      </c>
      <c r="D17" s="2" t="s">
        <v>15</v>
      </c>
      <c r="E17" s="2"/>
      <c r="F17" s="2" t="s">
        <v>2</v>
      </c>
      <c r="G17" s="2" t="s">
        <v>20</v>
      </c>
      <c r="H17" s="2">
        <f>C15/C7/C14/C17</f>
        <v>0.45470383275261311</v>
      </c>
      <c r="I17" s="2" t="s">
        <v>13</v>
      </c>
      <c r="J17" s="2" t="s">
        <v>19</v>
      </c>
      <c r="K17" s="2"/>
    </row>
    <row r="18" spans="1:16" ht="23.4" x14ac:dyDescent="0.45">
      <c r="A18" s="2"/>
      <c r="B18" s="2"/>
      <c r="C18" s="2"/>
      <c r="D18" s="2"/>
      <c r="E18" s="2"/>
      <c r="F18" s="2" t="s">
        <v>21</v>
      </c>
      <c r="G18" s="2"/>
      <c r="H18" s="2">
        <f>C2+H17/2</f>
        <v>7.2273519163763069</v>
      </c>
      <c r="I18" s="2" t="s">
        <v>13</v>
      </c>
      <c r="J18" s="2"/>
      <c r="K18" s="2"/>
    </row>
    <row r="19" spans="1:16" ht="23.4" x14ac:dyDescent="0.45">
      <c r="A19" s="13" t="s">
        <v>22</v>
      </c>
      <c r="B19" s="2"/>
      <c r="C19" s="2">
        <f>SQRT(2*H17/H18) /( 2* PI() *50)</f>
        <v>1.1291193019369191E-3</v>
      </c>
      <c r="D19" s="2" t="s">
        <v>28</v>
      </c>
      <c r="E19" s="2"/>
      <c r="F19" s="2"/>
      <c r="G19" s="2"/>
      <c r="H19" s="2"/>
      <c r="I19" s="2"/>
      <c r="J19" s="2"/>
      <c r="K19" s="2"/>
    </row>
    <row r="20" spans="1:16" ht="23.4" x14ac:dyDescent="0.45">
      <c r="A20" s="2" t="s">
        <v>23</v>
      </c>
      <c r="B20" s="2"/>
      <c r="C20" s="2">
        <f>C5*2/C7/C19</f>
        <v>63.766512428305333</v>
      </c>
      <c r="D20" s="2" t="s">
        <v>25</v>
      </c>
      <c r="E20" s="2"/>
      <c r="F20" s="2"/>
      <c r="G20" s="2"/>
      <c r="H20" s="2"/>
      <c r="I20" s="2"/>
      <c r="J20" s="2"/>
      <c r="K20" s="2"/>
    </row>
    <row r="21" spans="1:16" ht="23.4" x14ac:dyDescent="0.45">
      <c r="A21" s="2" t="s">
        <v>27</v>
      </c>
      <c r="B21" s="2"/>
      <c r="C21" s="2">
        <v>0.7</v>
      </c>
      <c r="D21" s="2" t="s">
        <v>13</v>
      </c>
      <c r="E21" s="2"/>
      <c r="F21" s="2"/>
      <c r="G21" s="2"/>
      <c r="H21" s="2"/>
      <c r="I21" s="2"/>
      <c r="J21" s="2"/>
      <c r="K21" s="2"/>
    </row>
    <row r="22" spans="1:16" ht="23.4" x14ac:dyDescent="0.45">
      <c r="A22" s="2" t="s">
        <v>29</v>
      </c>
      <c r="B22" s="2"/>
      <c r="C22" s="2">
        <f>H18+C21</f>
        <v>7.9273519163763071</v>
      </c>
      <c r="D22" s="2" t="s">
        <v>13</v>
      </c>
      <c r="E22" s="2"/>
      <c r="F22" s="2"/>
      <c r="G22" s="2"/>
      <c r="H22" s="2"/>
      <c r="I22" s="2"/>
      <c r="J22" s="2"/>
      <c r="K22" s="2"/>
      <c r="P22" s="7"/>
    </row>
    <row r="23" spans="1:16" ht="23.4" x14ac:dyDescent="0.45">
      <c r="A23" s="2" t="s">
        <v>30</v>
      </c>
      <c r="B23" s="2"/>
      <c r="C23" s="2">
        <f>2*PI()*C7*C17*C22</f>
        <v>204.21698645185197</v>
      </c>
      <c r="D23" s="2" t="s">
        <v>25</v>
      </c>
      <c r="E23" s="2"/>
      <c r="F23" s="2"/>
      <c r="G23" s="2"/>
      <c r="H23" s="2"/>
      <c r="I23" s="2"/>
      <c r="J23" s="2"/>
      <c r="K23" s="2"/>
    </row>
    <row r="24" spans="1:16" ht="23.4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6" ht="25.8" x14ac:dyDescent="0.5">
      <c r="A25" s="14"/>
      <c r="B25" s="14"/>
      <c r="C25" s="14"/>
      <c r="D25" s="14"/>
      <c r="E25" s="14"/>
      <c r="F25" s="14"/>
    </row>
    <row r="26" spans="1:16" ht="25.8" x14ac:dyDescent="0.5">
      <c r="A26" s="12" t="s">
        <v>31</v>
      </c>
      <c r="B26" s="14"/>
      <c r="C26" s="14"/>
      <c r="D26" s="14"/>
      <c r="E26" s="12" t="s">
        <v>38</v>
      </c>
      <c r="F26" s="12"/>
    </row>
    <row r="27" spans="1:16" ht="23.4" x14ac:dyDescent="0.45">
      <c r="A27" s="2" t="s">
        <v>21</v>
      </c>
      <c r="B27" s="2"/>
      <c r="C27" s="2">
        <v>7.33</v>
      </c>
      <c r="D27" s="2" t="s">
        <v>13</v>
      </c>
      <c r="E27" s="2">
        <f>ABS(C27-H18)</f>
        <v>0.10264808362369315</v>
      </c>
      <c r="F27" s="2"/>
      <c r="G27" s="2"/>
    </row>
    <row r="28" spans="1:16" ht="23.4" x14ac:dyDescent="0.45">
      <c r="A28" s="2" t="s">
        <v>32</v>
      </c>
      <c r="B28" s="2"/>
      <c r="C28" s="2">
        <v>6.95</v>
      </c>
      <c r="D28" s="2" t="s">
        <v>13</v>
      </c>
      <c r="E28" s="2"/>
      <c r="F28" s="2"/>
      <c r="G28" s="2"/>
    </row>
    <row r="29" spans="1:16" ht="23.4" x14ac:dyDescent="0.45">
      <c r="A29" s="2" t="s">
        <v>2</v>
      </c>
      <c r="B29" s="2"/>
      <c r="C29" s="2">
        <f>C27-C28</f>
        <v>0.37999999999999989</v>
      </c>
      <c r="D29" s="2" t="s">
        <v>13</v>
      </c>
      <c r="E29" s="2">
        <f>ABS(C29-H17)</f>
        <v>7.470383275261322E-2</v>
      </c>
      <c r="F29" s="2"/>
      <c r="G29" s="2"/>
    </row>
    <row r="30" spans="1:16" ht="23.4" x14ac:dyDescent="0.45">
      <c r="A30" s="2" t="s">
        <v>33</v>
      </c>
      <c r="B30" s="2"/>
      <c r="C30" s="2">
        <f>C27-C29/2</f>
        <v>7.1400000000000006</v>
      </c>
      <c r="D30" s="2" t="s">
        <v>13</v>
      </c>
      <c r="E30" s="2">
        <f>ABS(C2-C30)</f>
        <v>0.14000000000000057</v>
      </c>
      <c r="F30" s="2"/>
      <c r="G30" s="2"/>
    </row>
    <row r="31" spans="1:16" ht="23.4" x14ac:dyDescent="0.45">
      <c r="A31" s="2" t="s">
        <v>34</v>
      </c>
      <c r="B31" s="2" t="s">
        <v>36</v>
      </c>
      <c r="C31" s="2">
        <f>C30/C14</f>
        <v>1.8359999999999999</v>
      </c>
      <c r="D31" s="2" t="s">
        <v>25</v>
      </c>
      <c r="E31" s="2">
        <f>ABS(C31-C5)</f>
        <v>3.6000000000000032E-2</v>
      </c>
      <c r="F31" s="2"/>
      <c r="G31" s="2"/>
    </row>
    <row r="32" spans="1:16" ht="23.4" x14ac:dyDescent="0.45">
      <c r="A32" s="2" t="s">
        <v>29</v>
      </c>
      <c r="B32" s="2"/>
      <c r="C32" s="2">
        <v>7.88</v>
      </c>
      <c r="D32" s="2" t="s">
        <v>13</v>
      </c>
      <c r="E32" s="2">
        <f>ABS(C32-C22)</f>
        <v>4.7351916376307202E-2</v>
      </c>
      <c r="F32" s="2"/>
      <c r="G32" s="2"/>
    </row>
    <row r="33" spans="1:8" ht="23.4" x14ac:dyDescent="0.45">
      <c r="A33" s="13" t="s">
        <v>22</v>
      </c>
      <c r="B33" s="2"/>
      <c r="C33" s="2">
        <v>2.8E-3</v>
      </c>
      <c r="D33" s="2" t="s">
        <v>28</v>
      </c>
      <c r="E33" s="2">
        <f>ABS(C33-C19)</f>
        <v>1.6708806980630809E-3</v>
      </c>
      <c r="F33" s="2"/>
      <c r="G33" s="2"/>
    </row>
    <row r="34" spans="1:8" ht="23.4" x14ac:dyDescent="0.45">
      <c r="A34" s="2" t="s">
        <v>30</v>
      </c>
      <c r="B34" s="2" t="s">
        <v>35</v>
      </c>
      <c r="C34" s="2">
        <f>2*PI()*C7*C17*C32</f>
        <v>202.99715090435811</v>
      </c>
      <c r="D34" s="2" t="s">
        <v>25</v>
      </c>
      <c r="E34" s="2">
        <f>ABS(C34-C23)</f>
        <v>1.219835547493858</v>
      </c>
      <c r="F34" s="2"/>
      <c r="G34" s="2"/>
    </row>
    <row r="35" spans="1:8" ht="23.4" x14ac:dyDescent="0.45">
      <c r="A35" s="2" t="s">
        <v>39</v>
      </c>
      <c r="B35" s="2"/>
      <c r="C35" s="2">
        <v>161</v>
      </c>
      <c r="D35" s="2" t="s">
        <v>25</v>
      </c>
      <c r="E35" s="2">
        <f>ABS(C35-C23)</f>
        <v>43.216986451851966</v>
      </c>
      <c r="F35" s="2"/>
      <c r="G35" s="2"/>
      <c r="H35" s="9"/>
    </row>
    <row r="36" spans="1:8" ht="23.4" x14ac:dyDescent="0.45">
      <c r="A36" s="2" t="s">
        <v>37</v>
      </c>
      <c r="B36" s="2"/>
      <c r="C36" s="2">
        <v>28.7</v>
      </c>
      <c r="D36" s="2" t="s">
        <v>25</v>
      </c>
      <c r="E36" s="2">
        <f>ABS(C36-C20)</f>
        <v>35.06651242830533</v>
      </c>
      <c r="F36" s="2"/>
      <c r="G36" s="2"/>
    </row>
    <row r="37" spans="1:8" ht="23.4" x14ac:dyDescent="0.45">
      <c r="A37" s="2" t="s">
        <v>40</v>
      </c>
      <c r="B37" s="2"/>
      <c r="C37" s="2"/>
      <c r="D37" s="2"/>
      <c r="E37" s="2"/>
      <c r="F37" s="2"/>
      <c r="G37" s="2"/>
    </row>
    <row r="38" spans="1:8" ht="23.4" x14ac:dyDescent="0.45">
      <c r="A38" s="2"/>
      <c r="B38" s="2"/>
      <c r="C38" s="2"/>
      <c r="D38" s="2"/>
      <c r="E38" s="2"/>
      <c r="F38" s="2"/>
      <c r="G38" s="2"/>
    </row>
    <row r="39" spans="1:8" ht="23.4" x14ac:dyDescent="0.45">
      <c r="A39" s="2"/>
      <c r="B39" s="2"/>
      <c r="C39" s="2"/>
      <c r="D39" s="2"/>
      <c r="E39" s="2"/>
      <c r="F39" s="2"/>
      <c r="G39" s="2"/>
    </row>
    <row r="42" spans="1:8" ht="36.6" x14ac:dyDescent="0.7">
      <c r="A42" s="11" t="s">
        <v>42</v>
      </c>
    </row>
    <row r="43" spans="1:8" ht="25.8" x14ac:dyDescent="0.5">
      <c r="A43" s="12" t="s">
        <v>17</v>
      </c>
      <c r="B43" s="14"/>
      <c r="C43" s="14"/>
      <c r="D43" s="14"/>
      <c r="E43" s="12" t="s">
        <v>18</v>
      </c>
      <c r="F43" s="14"/>
    </row>
    <row r="44" spans="1:8" ht="23.4" x14ac:dyDescent="0.45">
      <c r="A44" s="2" t="s">
        <v>43</v>
      </c>
      <c r="B44" s="2"/>
      <c r="C44" s="2">
        <f>C2/C5</f>
        <v>3.8888888888888893</v>
      </c>
      <c r="D44" s="2"/>
      <c r="E44" s="2"/>
      <c r="F44" s="2"/>
      <c r="G44" s="2"/>
      <c r="H44" s="2"/>
    </row>
    <row r="45" spans="1:8" ht="23.4" x14ac:dyDescent="0.45">
      <c r="A45" s="2" t="s">
        <v>21</v>
      </c>
      <c r="B45" s="2"/>
      <c r="C45" s="2">
        <f>C2+C3/2</f>
        <v>7.25</v>
      </c>
      <c r="D45" s="2" t="s">
        <v>13</v>
      </c>
      <c r="E45" s="2"/>
      <c r="F45" s="2"/>
      <c r="G45" s="2"/>
      <c r="H45" s="2"/>
    </row>
    <row r="46" spans="1:8" ht="23.4" x14ac:dyDescent="0.45">
      <c r="A46" s="2" t="s">
        <v>14</v>
      </c>
      <c r="B46" s="2"/>
      <c r="C46" s="2">
        <f>C45/2/C7/C44/C3</f>
        <v>3.7285714285714276E-2</v>
      </c>
      <c r="D46" s="2" t="s">
        <v>15</v>
      </c>
      <c r="E46" s="2"/>
      <c r="F46" s="2"/>
      <c r="G46" s="2"/>
      <c r="H46" s="2"/>
    </row>
    <row r="47" spans="1:8" ht="23.4" x14ac:dyDescent="0.45">
      <c r="A47" s="2"/>
      <c r="B47" s="2" t="s">
        <v>44</v>
      </c>
      <c r="C47" s="2">
        <v>3.9E-2</v>
      </c>
      <c r="D47" s="2" t="s">
        <v>15</v>
      </c>
      <c r="E47" s="2" t="s">
        <v>3</v>
      </c>
      <c r="F47" s="2">
        <f>C45/2/C7/C44/C47</f>
        <v>0.47802197802197788</v>
      </c>
      <c r="G47" s="2" t="s">
        <v>45</v>
      </c>
      <c r="H47" s="2"/>
    </row>
    <row r="48" spans="1:8" ht="23.4" x14ac:dyDescent="0.45">
      <c r="A48" s="2"/>
      <c r="B48" s="2"/>
      <c r="C48" s="2"/>
      <c r="D48" s="2"/>
      <c r="E48" s="2" t="s">
        <v>46</v>
      </c>
      <c r="F48" s="2">
        <f>C2+F47/2</f>
        <v>7.2390109890109891</v>
      </c>
      <c r="G48" s="2"/>
      <c r="H48" s="2"/>
    </row>
    <row r="49" spans="1:8" ht="23.4" x14ac:dyDescent="0.45">
      <c r="A49" s="13" t="s">
        <v>22</v>
      </c>
      <c r="B49" s="2"/>
      <c r="C49" s="2">
        <f>SQRT(F47/F48)/(2*PI()*C7)</f>
        <v>8.1796447392191746E-4</v>
      </c>
      <c r="D49" s="2" t="s">
        <v>28</v>
      </c>
      <c r="E49" s="2"/>
      <c r="F49" s="2"/>
      <c r="G49" s="2"/>
      <c r="H49" s="2"/>
    </row>
    <row r="50" spans="1:8" ht="23.4" x14ac:dyDescent="0.45">
      <c r="A50" s="13" t="s">
        <v>23</v>
      </c>
      <c r="B50" s="2"/>
      <c r="C50" s="2">
        <f>C5/C7/C49</f>
        <v>44.011691397047819</v>
      </c>
      <c r="D50" s="2" t="s">
        <v>25</v>
      </c>
      <c r="E50" s="2"/>
      <c r="F50" s="2"/>
      <c r="G50" s="2"/>
      <c r="H50" s="2"/>
    </row>
    <row r="51" spans="1:8" ht="23.4" x14ac:dyDescent="0.45">
      <c r="A51" s="13" t="s">
        <v>27</v>
      </c>
      <c r="B51" s="2"/>
      <c r="C51" s="2">
        <v>0.75</v>
      </c>
      <c r="D51" s="2" t="s">
        <v>13</v>
      </c>
      <c r="E51" s="2"/>
      <c r="F51" s="2"/>
      <c r="G51" s="2"/>
      <c r="H51" s="2"/>
    </row>
    <row r="52" spans="1:8" ht="23.4" x14ac:dyDescent="0.45">
      <c r="A52" s="13" t="s">
        <v>29</v>
      </c>
      <c r="B52" s="2"/>
      <c r="C52" s="2">
        <f>2*C51+F48</f>
        <v>8.7390109890109891</v>
      </c>
      <c r="D52" s="2" t="s">
        <v>13</v>
      </c>
      <c r="E52" s="2"/>
      <c r="F52" s="2"/>
      <c r="G52" s="2"/>
      <c r="H52" s="2"/>
    </row>
    <row r="53" spans="1:8" ht="23.4" x14ac:dyDescent="0.45">
      <c r="A53" s="13" t="s">
        <v>30</v>
      </c>
      <c r="B53" s="2"/>
      <c r="C53" s="2">
        <f>2*PI()*C7*C47*C52</f>
        <v>107.07220961859784</v>
      </c>
      <c r="D53" s="2"/>
      <c r="E53" s="2"/>
      <c r="F53" s="2"/>
      <c r="G53" s="2"/>
      <c r="H53" s="2"/>
    </row>
    <row r="54" spans="1:8" ht="23.4" x14ac:dyDescent="0.45">
      <c r="A54" s="2"/>
      <c r="B54" s="2"/>
      <c r="C54" s="2"/>
      <c r="D54" s="2"/>
      <c r="E54" s="2"/>
      <c r="F54" s="2"/>
      <c r="G54" s="2"/>
      <c r="H54" s="2"/>
    </row>
    <row r="55" spans="1:8" ht="23.4" x14ac:dyDescent="0.45">
      <c r="A55" s="2"/>
      <c r="B55" s="2"/>
      <c r="C55" s="2"/>
      <c r="D55" s="2"/>
      <c r="E55" s="2"/>
      <c r="F55" s="2"/>
      <c r="G55" s="2"/>
      <c r="H55" s="2"/>
    </row>
    <row r="56" spans="1:8" ht="23.4" x14ac:dyDescent="0.45">
      <c r="A56" s="2"/>
      <c r="B56" s="2"/>
      <c r="C56" s="2"/>
      <c r="D56" s="2"/>
      <c r="E56" s="2"/>
      <c r="F56" s="2"/>
      <c r="G56" s="2"/>
      <c r="H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2020-12-07T10:20:44Z</dcterms:created>
  <dcterms:modified xsi:type="dcterms:W3CDTF">2020-12-07T15:36:13Z</dcterms:modified>
</cp:coreProperties>
</file>